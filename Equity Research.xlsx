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huyen/Documents/"/>
    </mc:Choice>
  </mc:AlternateContent>
  <xr:revisionPtr revIDLastSave="0" documentId="13_ncr:1_{9DA0FC9F-F3A9-3A49-AD7E-5A40B950600D}" xr6:coauthVersionLast="47" xr6:coauthVersionMax="47" xr10:uidLastSave="{00000000-0000-0000-0000-000000000000}"/>
  <bookViews>
    <workbookView xWindow="1120" yWindow="760" windowWidth="14980" windowHeight="16760" xr2:uid="{7FF5813B-450A-6945-9C6A-1EA5181CE20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1" l="1"/>
  <c r="D21" i="1"/>
  <c r="E21" i="1"/>
  <c r="F21" i="1"/>
  <c r="C21" i="1"/>
  <c r="O21" i="1"/>
  <c r="P21" i="1"/>
  <c r="Q21" i="1"/>
  <c r="R21" i="1"/>
  <c r="S21" i="1"/>
  <c r="S22" i="1" s="1"/>
  <c r="T21" i="1"/>
  <c r="T22" i="1"/>
  <c r="R22" i="1"/>
  <c r="P22" i="1"/>
  <c r="Q22" i="1"/>
  <c r="O18" i="1"/>
  <c r="C8" i="1"/>
  <c r="G11" i="1"/>
  <c r="L9" i="1"/>
  <c r="F19" i="1" s="1"/>
  <c r="F20" i="1" s="1"/>
  <c r="G9" i="1"/>
  <c r="E19" i="1"/>
  <c r="E20" i="1" s="1"/>
  <c r="I11" i="1"/>
  <c r="I9" i="1"/>
  <c r="G12" i="1"/>
  <c r="K9" i="1"/>
  <c r="H9" i="1"/>
  <c r="L20" i="1"/>
  <c r="J20" i="1"/>
  <c r="K20" i="1"/>
  <c r="C4" i="1"/>
  <c r="I20" i="1"/>
  <c r="H12" i="1"/>
  <c r="I12" i="1"/>
  <c r="J12" i="1"/>
  <c r="K12" i="1"/>
  <c r="L12" i="1" s="1"/>
  <c r="C19" i="1" s="1"/>
  <c r="H11" i="1"/>
  <c r="J11" i="1"/>
  <c r="K11" i="1"/>
  <c r="J9" i="1"/>
  <c r="C20" i="1" l="1"/>
  <c r="D19" i="1"/>
  <c r="D20" i="1" s="1"/>
  <c r="K19" i="1"/>
  <c r="C22" i="1" l="1"/>
  <c r="I19" i="1"/>
  <c r="I21" i="1" s="1"/>
  <c r="I24" i="1" s="1"/>
  <c r="J19" i="1"/>
  <c r="P18" i="1"/>
  <c r="D22" i="1" l="1"/>
  <c r="L19" i="1"/>
  <c r="C25" i="1"/>
  <c r="Q18" i="1"/>
  <c r="R18" i="1" l="1"/>
  <c r="E22" i="1"/>
  <c r="F22" i="1"/>
  <c r="S18" i="1" l="1"/>
  <c r="T18" i="1" s="1"/>
  <c r="K21" i="1"/>
  <c r="K24" i="1" s="1"/>
  <c r="E25" i="1"/>
  <c r="F25" i="1"/>
  <c r="L21" i="1"/>
  <c r="L24" i="1" s="1"/>
  <c r="D25" i="1"/>
  <c r="J21" i="1"/>
  <c r="J24" i="1" s="1"/>
  <c r="S25" i="1" l="1"/>
  <c r="S24" i="1"/>
  <c r="L25" i="1"/>
  <c r="C31" i="1" s="1"/>
  <c r="F26" i="1"/>
  <c r="C30" i="1" s="1"/>
  <c r="S26" i="1" l="1"/>
  <c r="S27" i="1" s="1"/>
  <c r="N30" i="1" s="1"/>
  <c r="C32" i="1" l="1"/>
  <c r="C33" i="1" s="1"/>
</calcChain>
</file>

<file path=xl/sharedStrings.xml><?xml version="1.0" encoding="utf-8"?>
<sst xmlns="http://schemas.openxmlformats.org/spreadsheetml/2006/main" count="90" uniqueCount="62">
  <si>
    <t>P/E</t>
  </si>
  <si>
    <t>DCF</t>
  </si>
  <si>
    <t>2026E Bear</t>
  </si>
  <si>
    <t>2026E Base</t>
  </si>
  <si>
    <t>2026E Bull</t>
  </si>
  <si>
    <t>2027E Base</t>
  </si>
  <si>
    <t>2028E Base</t>
  </si>
  <si>
    <t>2029E Base</t>
  </si>
  <si>
    <t>2030E Base</t>
  </si>
  <si>
    <t>Probability</t>
  </si>
  <si>
    <t>FCFE</t>
  </si>
  <si>
    <t>NI</t>
  </si>
  <si>
    <t>Risk free rate</t>
  </si>
  <si>
    <t>Number of share outstanding</t>
  </si>
  <si>
    <t>Beta</t>
  </si>
  <si>
    <t>EPS</t>
  </si>
  <si>
    <t>Market risk premium</t>
  </si>
  <si>
    <t>Target P/E</t>
  </si>
  <si>
    <t>Discount rate</t>
  </si>
  <si>
    <t>Justification</t>
  </si>
  <si>
    <t>Target price</t>
  </si>
  <si>
    <t>Terminal value</t>
  </si>
  <si>
    <t>P/E Valuation</t>
  </si>
  <si>
    <t>PV</t>
  </si>
  <si>
    <t>Equity value</t>
  </si>
  <si>
    <t>2026E Stress</t>
  </si>
  <si>
    <t>P/B</t>
  </si>
  <si>
    <t>BVPS</t>
  </si>
  <si>
    <t>Target P/B</t>
  </si>
  <si>
    <t>Equity</t>
  </si>
  <si>
    <t>P/B Valuation</t>
  </si>
  <si>
    <t>Prob</t>
  </si>
  <si>
    <t>GDP</t>
  </si>
  <si>
    <t>CPI</t>
  </si>
  <si>
    <t>Rate</t>
  </si>
  <si>
    <t>VND depr</t>
  </si>
  <si>
    <t>Bull</t>
  </si>
  <si>
    <t>Base</t>
  </si>
  <si>
    <t>Bear</t>
  </si>
  <si>
    <t>Stress</t>
  </si>
  <si>
    <t xml:space="preserve">5-year historical trough </t>
  </si>
  <si>
    <t xml:space="preserve">Current LTM </t>
  </si>
  <si>
    <t xml:space="preserve">5-year historical peak </t>
  </si>
  <si>
    <t xml:space="preserve">5-year historical near trough </t>
  </si>
  <si>
    <t>Sensitivity analysis</t>
  </si>
  <si>
    <t>Growth rate</t>
  </si>
  <si>
    <t>Input</t>
  </si>
  <si>
    <t>CFO 2025</t>
  </si>
  <si>
    <t>Dividend estimated 2026</t>
  </si>
  <si>
    <t>Pre-tax profit</t>
  </si>
  <si>
    <t>Pre-tax profit 2025</t>
  </si>
  <si>
    <t xml:space="preserve">Growth rate </t>
  </si>
  <si>
    <t>FDI</t>
  </si>
  <si>
    <t>FCFE 2025</t>
  </si>
  <si>
    <t>Capital expenditure 2025</t>
  </si>
  <si>
    <t>Equally-weighted</t>
  </si>
  <si>
    <t>Macro Scenario Assumptions</t>
  </si>
  <si>
    <t>TCB's NI sensitivity</t>
  </si>
  <si>
    <t>Sensitivity</t>
  </si>
  <si>
    <t>Total NI growth</t>
  </si>
  <si>
    <t>Equity 2025 (exclude non-interest control)</t>
  </si>
  <si>
    <t>2031E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</si>
</sst>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0.000"/>
    <numFmt numFmtId="165" formatCode="0.0"/>
    <numFmt numFmtId="166" formatCode="0.0%"/>
    <numFmt numFmtId="167" formatCode="0.0000"/>
    <numFmt numFmtId="168" formatCode="0.00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u/>
      <sz val="13"/>
      <color theme="10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41" fontId="4" fillId="0" borderId="0" xfId="1" applyFont="1"/>
    <xf numFmtId="10" fontId="4" fillId="0" borderId="0" xfId="0" applyNumberFormat="1" applyFont="1"/>
    <xf numFmtId="0" fontId="6" fillId="0" borderId="0" xfId="0" applyFont="1" applyAlignment="1">
      <alignment horizontal="center" vertical="center" wrapText="1"/>
    </xf>
    <xf numFmtId="3" fontId="4" fillId="0" borderId="0" xfId="0" applyNumberFormat="1" applyFont="1"/>
    <xf numFmtId="0" fontId="4" fillId="0" borderId="0" xfId="0" applyFont="1" applyAlignment="1">
      <alignment horizontal="left" vertical="center" wrapText="1"/>
    </xf>
    <xf numFmtId="41" fontId="4" fillId="0" borderId="0" xfId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7" fillId="0" borderId="0" xfId="3" applyFont="1"/>
    <xf numFmtId="166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9" fontId="4" fillId="0" borderId="0" xfId="2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4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3" fontId="4" fillId="0" borderId="0" xfId="0" applyNumberFormat="1" applyFont="1" applyAlignment="1">
      <alignment horizontal="center" vertical="center"/>
    </xf>
    <xf numFmtId="0" fontId="8" fillId="0" borderId="0" xfId="0" applyFont="1"/>
    <xf numFmtId="41" fontId="4" fillId="0" borderId="0" xfId="0" applyNumberFormat="1" applyFont="1"/>
    <xf numFmtId="3" fontId="4" fillId="0" borderId="0" xfId="0" applyNumberFormat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41" fontId="8" fillId="0" borderId="0" xfId="1" applyFont="1"/>
    <xf numFmtId="168" fontId="4" fillId="0" borderId="0" xfId="2" applyNumberFormat="1" applyFont="1"/>
    <xf numFmtId="167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3" fontId="8" fillId="0" borderId="0" xfId="1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center" vertical="center"/>
    </xf>
    <xf numFmtId="0" fontId="8" fillId="0" borderId="0" xfId="0" applyFont="1" applyAlignment="1">
      <alignment wrapText="1"/>
    </xf>
    <xf numFmtId="9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4" fillId="3" borderId="0" xfId="0" applyNumberFormat="1" applyFont="1" applyFill="1"/>
    <xf numFmtId="0" fontId="4" fillId="0" borderId="0" xfId="0" applyFont="1" applyFill="1"/>
    <xf numFmtId="41" fontId="4" fillId="0" borderId="0" xfId="0" applyNumberFormat="1" applyFont="1" applyFill="1"/>
    <xf numFmtId="10" fontId="4" fillId="0" borderId="0" xfId="0" applyNumberFormat="1" applyFont="1" applyFill="1"/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615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73A0-AFE6-C14F-A74A-D78A75948EAA}">
  <dimension ref="B2:AB42"/>
  <sheetViews>
    <sheetView showGridLines="0" tabSelected="1" topLeftCell="A9" zoomScaleNormal="89" workbookViewId="0">
      <selection activeCell="F23" sqref="F23"/>
    </sheetView>
  </sheetViews>
  <sheetFormatPr baseColWidth="10" defaultRowHeight="17" x14ac:dyDescent="0.2"/>
  <cols>
    <col min="1" max="1" width="10.83203125" style="5"/>
    <col min="2" max="2" width="24.6640625" style="5" bestFit="1" customWidth="1"/>
    <col min="3" max="3" width="18" style="5" customWidth="1"/>
    <col min="4" max="4" width="18.1640625" style="5" customWidth="1"/>
    <col min="5" max="5" width="19.83203125" style="5" customWidth="1"/>
    <col min="6" max="6" width="19.1640625" style="5" customWidth="1"/>
    <col min="7" max="7" width="14.33203125" style="5" bestFit="1" customWidth="1"/>
    <col min="8" max="8" width="15.5" style="5" bestFit="1" customWidth="1"/>
    <col min="9" max="9" width="16.5" style="5" bestFit="1" customWidth="1"/>
    <col min="10" max="11" width="15.5" style="5" bestFit="1" customWidth="1"/>
    <col min="12" max="12" width="16.6640625" style="5" bestFit="1" customWidth="1"/>
    <col min="13" max="13" width="19" style="5" bestFit="1" customWidth="1"/>
    <col min="14" max="14" width="22.33203125" style="5" customWidth="1"/>
    <col min="15" max="15" width="14.33203125" style="5" bestFit="1" customWidth="1"/>
    <col min="16" max="16" width="18.83203125" style="5" bestFit="1" customWidth="1"/>
    <col min="17" max="18" width="13" style="5" bestFit="1" customWidth="1"/>
    <col min="19" max="19" width="16" style="5" bestFit="1" customWidth="1"/>
    <col min="20" max="20" width="13.5" style="5" bestFit="1" customWidth="1"/>
    <col min="21" max="22" width="10.83203125" style="5"/>
    <col min="23" max="27" width="8.83203125" style="5" bestFit="1" customWidth="1"/>
    <col min="28" max="16384" width="10.83203125" style="5"/>
  </cols>
  <sheetData>
    <row r="2" spans="2:28" ht="36" x14ac:dyDescent="0.2">
      <c r="B2" s="1" t="s">
        <v>46</v>
      </c>
      <c r="C2" s="2"/>
      <c r="D2" s="3"/>
      <c r="E2" s="1" t="s">
        <v>56</v>
      </c>
      <c r="F2" s="37" t="s">
        <v>31</v>
      </c>
      <c r="G2" s="37" t="s">
        <v>32</v>
      </c>
      <c r="H2" s="37" t="s">
        <v>33</v>
      </c>
      <c r="I2" s="37" t="s">
        <v>34</v>
      </c>
      <c r="J2" s="37" t="s">
        <v>35</v>
      </c>
      <c r="K2" s="37" t="s">
        <v>52</v>
      </c>
      <c r="O2" s="3"/>
      <c r="P2" s="3"/>
      <c r="Q2" s="3"/>
      <c r="R2" s="3"/>
      <c r="S2" s="3"/>
      <c r="W2" s="6"/>
      <c r="X2" s="3"/>
      <c r="Y2" s="3"/>
      <c r="Z2" s="3"/>
      <c r="AA2" s="3"/>
      <c r="AB2" s="3"/>
    </row>
    <row r="3" spans="2:28" x14ac:dyDescent="0.2">
      <c r="B3" s="25" t="s">
        <v>50</v>
      </c>
      <c r="C3" s="7">
        <v>32538066</v>
      </c>
      <c r="E3" s="4" t="s">
        <v>36</v>
      </c>
      <c r="F3" s="43">
        <v>0.25</v>
      </c>
      <c r="G3" s="44">
        <v>7.4999999999999997E-2</v>
      </c>
      <c r="H3" s="44">
        <v>4.4999999999999998E-2</v>
      </c>
      <c r="I3" s="44">
        <v>4.4999999999999998E-2</v>
      </c>
      <c r="J3" s="44">
        <v>0.02</v>
      </c>
      <c r="K3" s="44">
        <v>0.06</v>
      </c>
      <c r="W3" s="3"/>
      <c r="X3" s="3"/>
      <c r="Y3" s="3"/>
      <c r="Z3" s="3"/>
      <c r="AA3" s="9"/>
      <c r="AB3" s="9"/>
    </row>
    <row r="4" spans="2:28" ht="36" x14ac:dyDescent="0.2">
      <c r="B4" s="42" t="s">
        <v>60</v>
      </c>
      <c r="C4" s="10">
        <f>179501442-9456938</f>
        <v>170044504</v>
      </c>
      <c r="E4" s="4" t="s">
        <v>37</v>
      </c>
      <c r="F4" s="43">
        <v>0.5</v>
      </c>
      <c r="G4" s="44">
        <v>7.0000000000000007E-2</v>
      </c>
      <c r="H4" s="44">
        <v>0.05</v>
      </c>
      <c r="I4" s="44">
        <v>4.4999999999999998E-2</v>
      </c>
      <c r="J4" s="44">
        <v>0.03</v>
      </c>
      <c r="K4" s="44">
        <v>0.04</v>
      </c>
      <c r="W4" s="11"/>
      <c r="X4" s="12"/>
      <c r="Y4" s="12"/>
      <c r="Z4" s="12"/>
      <c r="AA4" s="12"/>
      <c r="AB4" s="12"/>
    </row>
    <row r="5" spans="2:28" x14ac:dyDescent="0.2">
      <c r="B5" s="25" t="s">
        <v>48</v>
      </c>
      <c r="C5" s="10">
        <v>4960000</v>
      </c>
      <c r="E5" s="4" t="s">
        <v>38</v>
      </c>
      <c r="F5" s="43">
        <v>0.2</v>
      </c>
      <c r="G5" s="44">
        <v>6.3E-2</v>
      </c>
      <c r="H5" s="44">
        <v>5.6000000000000001E-2</v>
      </c>
      <c r="I5" s="44">
        <v>5.5E-2</v>
      </c>
      <c r="J5" s="44">
        <v>7.0000000000000007E-2</v>
      </c>
      <c r="K5" s="44">
        <v>-0.05</v>
      </c>
      <c r="W5" s="11"/>
      <c r="X5" s="13"/>
      <c r="Y5" s="13"/>
      <c r="Z5" s="13"/>
      <c r="AA5" s="13"/>
      <c r="AB5" s="13"/>
    </row>
    <row r="6" spans="2:28" x14ac:dyDescent="0.2">
      <c r="B6" s="25" t="s">
        <v>47</v>
      </c>
      <c r="C6" s="10">
        <v>39923618</v>
      </c>
      <c r="E6" s="4" t="s">
        <v>39</v>
      </c>
      <c r="F6" s="43">
        <v>0.05</v>
      </c>
      <c r="G6" s="44">
        <v>0.03</v>
      </c>
      <c r="H6" s="44">
        <v>6.5000000000000002E-2</v>
      </c>
      <c r="I6" s="44">
        <v>6.5000000000000002E-2</v>
      </c>
      <c r="J6" s="44">
        <v>0.1</v>
      </c>
      <c r="K6" s="44">
        <v>-0.15</v>
      </c>
      <c r="W6" s="11"/>
      <c r="X6" s="3"/>
      <c r="Y6" s="3"/>
      <c r="Z6" s="3"/>
      <c r="AA6" s="3"/>
      <c r="AB6" s="3"/>
    </row>
    <row r="7" spans="2:28" ht="36" x14ac:dyDescent="0.2">
      <c r="B7" s="25" t="s">
        <v>54</v>
      </c>
      <c r="C7" s="10">
        <v>657030</v>
      </c>
      <c r="E7" s="1" t="s">
        <v>57</v>
      </c>
      <c r="G7" s="37" t="s">
        <v>32</v>
      </c>
      <c r="H7" s="37" t="s">
        <v>33</v>
      </c>
      <c r="I7" s="37" t="s">
        <v>34</v>
      </c>
      <c r="J7" s="37" t="s">
        <v>35</v>
      </c>
      <c r="K7" s="37" t="s">
        <v>52</v>
      </c>
      <c r="L7" s="37" t="s">
        <v>59</v>
      </c>
      <c r="T7" s="14"/>
      <c r="W7" s="11"/>
      <c r="X7" s="13"/>
      <c r="Y7" s="13"/>
      <c r="Z7" s="13"/>
      <c r="AA7" s="13"/>
      <c r="AB7" s="13"/>
    </row>
    <row r="8" spans="2:28" x14ac:dyDescent="0.2">
      <c r="B8" s="25" t="s">
        <v>53</v>
      </c>
      <c r="C8" s="10">
        <f>C6-C7</f>
        <v>39266588</v>
      </c>
      <c r="E8" s="4" t="s">
        <v>58</v>
      </c>
      <c r="G8" s="45">
        <v>2.5</v>
      </c>
      <c r="H8" s="45">
        <v>-1</v>
      </c>
      <c r="I8" s="45">
        <v>1</v>
      </c>
      <c r="J8" s="45">
        <v>-0.5</v>
      </c>
      <c r="K8" s="45">
        <v>1</v>
      </c>
      <c r="L8" s="38"/>
      <c r="T8" s="8"/>
      <c r="W8" s="11"/>
      <c r="X8" s="13"/>
      <c r="Y8" s="13"/>
      <c r="Z8" s="13"/>
      <c r="AA8" s="13"/>
      <c r="AB8" s="13"/>
    </row>
    <row r="9" spans="2:28" x14ac:dyDescent="0.2">
      <c r="E9" s="4" t="s">
        <v>36</v>
      </c>
      <c r="G9" s="46">
        <f>(G3-G4)*G8</f>
        <v>1.2499999999999976E-2</v>
      </c>
      <c r="H9" s="46">
        <f>(H3-H4)*H8</f>
        <v>5.0000000000000044E-3</v>
      </c>
      <c r="I9" s="47">
        <f>(I3-I4)*I8</f>
        <v>0</v>
      </c>
      <c r="J9" s="46">
        <f>(J3-J4)*J8</f>
        <v>4.9999999999999992E-3</v>
      </c>
      <c r="K9" s="46">
        <f>(K3-K4)*K8</f>
        <v>1.9999999999999997E-2</v>
      </c>
      <c r="L9" s="48">
        <f>L10+SUM(G9:K9)</f>
        <v>0.19249999999999998</v>
      </c>
      <c r="W9" s="11"/>
      <c r="X9" s="15"/>
      <c r="Y9" s="15"/>
      <c r="Z9" s="15"/>
      <c r="AA9" s="15"/>
      <c r="AB9" s="15"/>
    </row>
    <row r="10" spans="2:28" ht="17" customHeight="1" x14ac:dyDescent="0.2">
      <c r="D10" s="10"/>
      <c r="E10" s="4" t="s">
        <v>37</v>
      </c>
      <c r="G10" s="36"/>
      <c r="H10" s="36"/>
      <c r="I10" s="36"/>
      <c r="J10" s="36"/>
      <c r="K10" s="36"/>
      <c r="L10" s="43">
        <v>0.15</v>
      </c>
      <c r="W10" s="52"/>
      <c r="X10" s="52"/>
      <c r="Y10" s="52"/>
      <c r="Z10" s="52"/>
      <c r="AA10" s="52"/>
      <c r="AB10" s="12"/>
    </row>
    <row r="11" spans="2:28" ht="16" customHeight="1" x14ac:dyDescent="0.2">
      <c r="E11" s="4" t="s">
        <v>38</v>
      </c>
      <c r="G11" s="49">
        <f>(G5-G4)*G8</f>
        <v>-1.7500000000000016E-2</v>
      </c>
      <c r="H11" s="49">
        <f>(H5-H4)*H8</f>
        <v>-5.9999999999999984E-3</v>
      </c>
      <c r="I11" s="49">
        <f>(I5-I4)*I8</f>
        <v>1.0000000000000002E-2</v>
      </c>
      <c r="J11" s="49">
        <f>(J5-J4)*J8</f>
        <v>-2.0000000000000004E-2</v>
      </c>
      <c r="K11" s="49">
        <f>(K5-K4)*K8</f>
        <v>-0.09</v>
      </c>
      <c r="L11" s="44">
        <f>L10+SUM(G11:K11)</f>
        <v>2.6499999999999982E-2</v>
      </c>
      <c r="W11" s="52"/>
      <c r="X11" s="52"/>
      <c r="Y11" s="52"/>
      <c r="Z11" s="52"/>
      <c r="AA11" s="52"/>
      <c r="AB11" s="12"/>
    </row>
    <row r="12" spans="2:28" ht="17" customHeight="1" x14ac:dyDescent="0.2">
      <c r="E12" s="4" t="s">
        <v>39</v>
      </c>
      <c r="G12" s="49">
        <f>(G6-G4)*G8</f>
        <v>-0.10000000000000002</v>
      </c>
      <c r="H12" s="49">
        <f>(H6-H4)*H8</f>
        <v>-1.4999999999999999E-2</v>
      </c>
      <c r="I12" s="49">
        <f>(I6-I4)*I8</f>
        <v>2.0000000000000004E-2</v>
      </c>
      <c r="J12" s="49">
        <f>(J6-J4)*J8</f>
        <v>-3.5000000000000003E-2</v>
      </c>
      <c r="K12" s="49">
        <f>(K6-K4)*K8</f>
        <v>-0.19</v>
      </c>
      <c r="L12" s="44">
        <f>L10+SUM(G12:K12)</f>
        <v>-0.17</v>
      </c>
      <c r="W12" s="52"/>
      <c r="X12" s="52"/>
      <c r="Y12" s="52"/>
      <c r="Z12" s="52"/>
      <c r="AA12" s="52"/>
      <c r="AB12" s="12"/>
    </row>
    <row r="13" spans="2:28" ht="16" customHeight="1" x14ac:dyDescent="0.2">
      <c r="W13" s="52"/>
      <c r="X13" s="52"/>
      <c r="Y13" s="52"/>
      <c r="Z13" s="52"/>
      <c r="AA13" s="52"/>
      <c r="AB13" s="12"/>
    </row>
    <row r="14" spans="2:28" x14ac:dyDescent="0.2">
      <c r="T14" s="26"/>
    </row>
    <row r="17" spans="2:28" ht="18" x14ac:dyDescent="0.2">
      <c r="B17" s="1" t="s">
        <v>0</v>
      </c>
      <c r="C17" s="16" t="s">
        <v>25</v>
      </c>
      <c r="D17" s="16" t="s">
        <v>2</v>
      </c>
      <c r="E17" s="16" t="s">
        <v>3</v>
      </c>
      <c r="F17" s="17" t="s">
        <v>4</v>
      </c>
      <c r="G17" s="3"/>
      <c r="H17" s="1" t="s">
        <v>26</v>
      </c>
      <c r="I17" s="16" t="s">
        <v>25</v>
      </c>
      <c r="J17" s="16" t="s">
        <v>2</v>
      </c>
      <c r="K17" s="16" t="s">
        <v>3</v>
      </c>
      <c r="L17" s="17" t="s">
        <v>4</v>
      </c>
      <c r="N17" s="1" t="s">
        <v>1</v>
      </c>
      <c r="O17" s="16" t="s">
        <v>3</v>
      </c>
      <c r="P17" s="16" t="s">
        <v>5</v>
      </c>
      <c r="Q17" s="16" t="s">
        <v>6</v>
      </c>
      <c r="R17" s="17" t="s">
        <v>7</v>
      </c>
      <c r="S17" s="17" t="s">
        <v>8</v>
      </c>
      <c r="T17" s="17" t="s">
        <v>61</v>
      </c>
    </row>
    <row r="18" spans="2:28" ht="18" x14ac:dyDescent="0.2">
      <c r="B18" s="18" t="s">
        <v>9</v>
      </c>
      <c r="C18" s="19">
        <v>0.05</v>
      </c>
      <c r="D18" s="20">
        <v>0.2</v>
      </c>
      <c r="E18" s="20">
        <v>0.5</v>
      </c>
      <c r="F18" s="20">
        <v>0.25</v>
      </c>
      <c r="G18" s="3"/>
      <c r="H18" s="21" t="s">
        <v>9</v>
      </c>
      <c r="I18" s="19">
        <v>0.05</v>
      </c>
      <c r="J18" s="20">
        <v>0.2</v>
      </c>
      <c r="K18" s="20">
        <v>0.5</v>
      </c>
      <c r="L18" s="20">
        <v>0.25</v>
      </c>
      <c r="N18" s="18" t="s">
        <v>10</v>
      </c>
      <c r="O18" s="22">
        <f>C8*(1+O23)</f>
        <v>42407915.039999999</v>
      </c>
      <c r="P18" s="22">
        <f>O18*(1+P23)</f>
        <v>45800548.243200004</v>
      </c>
      <c r="Q18" s="22">
        <f t="shared" ref="Q18:T18" si="0">P18*(1+Q23)</f>
        <v>49464592.102656007</v>
      </c>
      <c r="R18" s="22">
        <f>Q18*(1+R23)</f>
        <v>51937821.70778881</v>
      </c>
      <c r="S18" s="22">
        <f t="shared" si="0"/>
        <v>54534712.793178253</v>
      </c>
      <c r="T18" s="22">
        <f t="shared" si="0"/>
        <v>55625407.049041823</v>
      </c>
    </row>
    <row r="19" spans="2:28" ht="18" x14ac:dyDescent="0.2">
      <c r="B19" s="23" t="s">
        <v>49</v>
      </c>
      <c r="C19" s="24">
        <f>C3*(1+L12)</f>
        <v>27006594.779999997</v>
      </c>
      <c r="D19" s="24">
        <f>C3*(1+L11)</f>
        <v>33400324.748999998</v>
      </c>
      <c r="E19" s="24">
        <f>C3*(1+L10)</f>
        <v>37418775.899999999</v>
      </c>
      <c r="F19" s="24">
        <f>C3*(1+L9)</f>
        <v>38801643.704999998</v>
      </c>
      <c r="G19" s="3"/>
      <c r="H19" s="39" t="s">
        <v>29</v>
      </c>
      <c r="I19" s="24">
        <f>$C$4+C20-$C$5</f>
        <v>186689779.824</v>
      </c>
      <c r="J19" s="24">
        <f>$C$4+D20-$C$5</f>
        <v>191804763.7992</v>
      </c>
      <c r="K19" s="24">
        <f>$C$4+E20-$C$5</f>
        <v>195019524.72</v>
      </c>
      <c r="L19" s="24">
        <f t="shared" ref="L19" si="1">$C$4+F20-$C$5</f>
        <v>196125818.96399999</v>
      </c>
      <c r="N19" s="18" t="s">
        <v>12</v>
      </c>
      <c r="O19" s="13">
        <v>4.3749999999999997E-2</v>
      </c>
      <c r="P19" s="13">
        <v>4.3749999999999997E-2</v>
      </c>
      <c r="Q19" s="13">
        <v>4.3749999999999997E-2</v>
      </c>
      <c r="R19" s="13">
        <v>4.3749999999999997E-2</v>
      </c>
      <c r="S19" s="13">
        <v>4.3749999999999997E-2</v>
      </c>
      <c r="T19" s="13">
        <v>4.3749999999999997E-2</v>
      </c>
    </row>
    <row r="20" spans="2:28" ht="16" customHeight="1" x14ac:dyDescent="0.2">
      <c r="B20" s="18" t="s">
        <v>11</v>
      </c>
      <c r="C20" s="24">
        <f>C19*(1-20%)</f>
        <v>21605275.824000001</v>
      </c>
      <c r="D20" s="24">
        <f t="shared" ref="D20:F20" si="2">D19*(1-20%)</f>
        <v>26720259.799199998</v>
      </c>
      <c r="E20" s="24">
        <f t="shared" si="2"/>
        <v>29935020.719999999</v>
      </c>
      <c r="F20" s="24">
        <f t="shared" si="2"/>
        <v>31041314.964000002</v>
      </c>
      <c r="G20" s="3"/>
      <c r="H20" s="21" t="s">
        <v>13</v>
      </c>
      <c r="I20" s="27">
        <f>C21</f>
        <v>7086</v>
      </c>
      <c r="J20" s="27">
        <f t="shared" ref="J20:L20" si="3">D21</f>
        <v>7086</v>
      </c>
      <c r="K20" s="27">
        <f t="shared" si="3"/>
        <v>7086</v>
      </c>
      <c r="L20" s="27">
        <f t="shared" si="3"/>
        <v>7086</v>
      </c>
      <c r="N20" s="18" t="s">
        <v>14</v>
      </c>
      <c r="O20" s="3">
        <v>1.08</v>
      </c>
      <c r="P20" s="3">
        <v>1.08</v>
      </c>
      <c r="Q20" s="3">
        <v>1.08</v>
      </c>
      <c r="R20" s="3">
        <v>1.08</v>
      </c>
      <c r="S20" s="3">
        <v>1.08</v>
      </c>
      <c r="T20" s="3">
        <v>1.08</v>
      </c>
    </row>
    <row r="21" spans="2:28" ht="17" customHeight="1" x14ac:dyDescent="0.2">
      <c r="B21" s="18" t="s">
        <v>13</v>
      </c>
      <c r="C21" s="27">
        <f>7086</f>
        <v>7086</v>
      </c>
      <c r="D21" s="27">
        <f>7086</f>
        <v>7086</v>
      </c>
      <c r="E21" s="27">
        <f>7086</f>
        <v>7086</v>
      </c>
      <c r="F21" s="27">
        <f>7086</f>
        <v>7086</v>
      </c>
      <c r="G21" s="3"/>
      <c r="H21" s="25" t="s">
        <v>27</v>
      </c>
      <c r="I21" s="28">
        <f>I19/I20</f>
        <v>26346.285608806098</v>
      </c>
      <c r="J21" s="28">
        <f t="shared" ref="J21:L21" si="4">J19/J20</f>
        <v>27068.12924064352</v>
      </c>
      <c r="K21" s="28">
        <f t="shared" si="4"/>
        <v>27521.807044877223</v>
      </c>
      <c r="L21" s="28">
        <f t="shared" si="4"/>
        <v>27677.930985605417</v>
      </c>
      <c r="N21" s="18" t="s">
        <v>16</v>
      </c>
      <c r="O21" s="13">
        <f>15%-O19</f>
        <v>0.10625</v>
      </c>
      <c r="P21" s="13">
        <f t="shared" ref="P21:S21" si="5">15%-P19</f>
        <v>0.10625</v>
      </c>
      <c r="Q21" s="13">
        <f t="shared" si="5"/>
        <v>0.10625</v>
      </c>
      <c r="R21" s="13">
        <f t="shared" si="5"/>
        <v>0.10625</v>
      </c>
      <c r="S21" s="13">
        <f t="shared" si="5"/>
        <v>0.10625</v>
      </c>
      <c r="T21" s="13">
        <f t="shared" ref="T21" si="6">15%-T19</f>
        <v>0.10625</v>
      </c>
    </row>
    <row r="22" spans="2:28" ht="17" customHeight="1" x14ac:dyDescent="0.2">
      <c r="B22" s="18" t="s">
        <v>15</v>
      </c>
      <c r="C22" s="22">
        <f>C20/C21</f>
        <v>3049.0087248094837</v>
      </c>
      <c r="D22" s="22">
        <f t="shared" ref="D22:F22" si="7">D20/D21</f>
        <v>3770.8523566469094</v>
      </c>
      <c r="E22" s="22">
        <f t="shared" si="7"/>
        <v>4224.5301608806094</v>
      </c>
      <c r="F22" s="22">
        <f t="shared" si="7"/>
        <v>4380.6541016088067</v>
      </c>
      <c r="G22" s="3"/>
      <c r="H22" s="21" t="s">
        <v>28</v>
      </c>
      <c r="I22" s="29">
        <v>0.8</v>
      </c>
      <c r="J22" s="29">
        <v>1</v>
      </c>
      <c r="K22" s="29">
        <v>1.4</v>
      </c>
      <c r="L22" s="29">
        <v>2</v>
      </c>
      <c r="N22" s="18" t="s">
        <v>18</v>
      </c>
      <c r="O22" s="13">
        <v>0.1585</v>
      </c>
      <c r="P22" s="13">
        <f>P19+P20*P21</f>
        <v>0.1585</v>
      </c>
      <c r="Q22" s="13">
        <f t="shared" ref="Q22:R22" si="8">Q19+Q20*Q21</f>
        <v>0.1585</v>
      </c>
      <c r="R22" s="13">
        <f t="shared" si="8"/>
        <v>0.1585</v>
      </c>
      <c r="S22" s="13">
        <f>S19+S20*S21</f>
        <v>0.1585</v>
      </c>
      <c r="T22" s="13">
        <f>T19+T20*T21</f>
        <v>0.1585</v>
      </c>
    </row>
    <row r="23" spans="2:28" ht="54" x14ac:dyDescent="0.2">
      <c r="B23" s="18" t="s">
        <v>17</v>
      </c>
      <c r="C23" s="3">
        <v>4.3</v>
      </c>
      <c r="D23" s="30">
        <v>6.6</v>
      </c>
      <c r="E23" s="31">
        <v>8.9</v>
      </c>
      <c r="F23" s="30">
        <v>11.3</v>
      </c>
      <c r="G23" s="3"/>
      <c r="H23" s="21" t="s">
        <v>19</v>
      </c>
      <c r="I23" s="32" t="s">
        <v>40</v>
      </c>
      <c r="J23" s="3" t="s">
        <v>43</v>
      </c>
      <c r="K23" s="32" t="s">
        <v>41</v>
      </c>
      <c r="L23" s="32" t="s">
        <v>42</v>
      </c>
      <c r="N23" s="18" t="s">
        <v>51</v>
      </c>
      <c r="O23" s="15">
        <v>0.08</v>
      </c>
      <c r="P23" s="15">
        <v>0.08</v>
      </c>
      <c r="Q23" s="15">
        <v>0.08</v>
      </c>
      <c r="R23" s="15">
        <v>0.05</v>
      </c>
      <c r="S23" s="15">
        <v>0.05</v>
      </c>
      <c r="T23" s="15">
        <v>0.02</v>
      </c>
    </row>
    <row r="24" spans="2:28" ht="36" x14ac:dyDescent="0.2">
      <c r="B24" s="21" t="s">
        <v>19</v>
      </c>
      <c r="C24" s="32" t="s">
        <v>40</v>
      </c>
      <c r="D24" s="3" t="s">
        <v>43</v>
      </c>
      <c r="E24" s="32" t="s">
        <v>41</v>
      </c>
      <c r="F24" s="32" t="s">
        <v>42</v>
      </c>
      <c r="G24" s="3"/>
      <c r="H24" s="21" t="s">
        <v>20</v>
      </c>
      <c r="I24" s="24">
        <f>I21*I22</f>
        <v>21077.028487044881</v>
      </c>
      <c r="J24" s="24">
        <f t="shared" ref="J24:L24" si="9">J21*J22</f>
        <v>27068.12924064352</v>
      </c>
      <c r="K24" s="24">
        <f t="shared" si="9"/>
        <v>38530.529862828109</v>
      </c>
      <c r="L24" s="24">
        <f t="shared" si="9"/>
        <v>55355.861971210834</v>
      </c>
      <c r="N24" s="52" t="s">
        <v>21</v>
      </c>
      <c r="O24" s="52"/>
      <c r="P24" s="52"/>
      <c r="Q24" s="52"/>
      <c r="R24" s="52"/>
      <c r="S24" s="22">
        <f>T18*(1+T23)/(T22-T23)</f>
        <v>409660037.47308779</v>
      </c>
    </row>
    <row r="25" spans="2:28" ht="18" x14ac:dyDescent="0.2">
      <c r="B25" s="18" t="s">
        <v>20</v>
      </c>
      <c r="C25" s="22">
        <f>C22*C23</f>
        <v>13110.73751668078</v>
      </c>
      <c r="D25" s="22">
        <f>D23*D22</f>
        <v>24887.625553869599</v>
      </c>
      <c r="E25" s="22">
        <f>E23*E22</f>
        <v>37598.318431837426</v>
      </c>
      <c r="F25" s="22">
        <f>F23*F22</f>
        <v>49501.391348179517</v>
      </c>
      <c r="G25" s="3"/>
      <c r="H25" s="51" t="s">
        <v>30</v>
      </c>
      <c r="I25" s="51"/>
      <c r="J25" s="51"/>
      <c r="K25" s="51"/>
      <c r="L25" s="41">
        <f>SUMPRODUCT(I24:L24,I18:L18)</f>
        <v>39571.707696697711</v>
      </c>
      <c r="N25" s="52" t="s">
        <v>23</v>
      </c>
      <c r="O25" s="52"/>
      <c r="P25" s="52"/>
      <c r="Q25" s="52"/>
      <c r="R25" s="52"/>
      <c r="S25" s="22">
        <f>NPV(O22,O18:T18)</f>
        <v>180520294.52332547</v>
      </c>
    </row>
    <row r="26" spans="2:28" ht="18" customHeight="1" x14ac:dyDescent="0.2">
      <c r="B26" s="51" t="s">
        <v>22</v>
      </c>
      <c r="C26" s="51"/>
      <c r="D26" s="51"/>
      <c r="E26" s="51"/>
      <c r="F26" s="40">
        <f>SUMPRODUCT(C18:F18,C25:F25)</f>
        <v>36807.56903957155</v>
      </c>
      <c r="G26" s="3"/>
      <c r="L26" s="24"/>
      <c r="N26" s="52" t="s">
        <v>24</v>
      </c>
      <c r="O26" s="52"/>
      <c r="P26" s="52"/>
      <c r="Q26" s="52"/>
      <c r="R26" s="52"/>
      <c r="S26" s="22">
        <f>S25+S24/(1+O22)^5</f>
        <v>376830740.53519034</v>
      </c>
    </row>
    <row r="27" spans="2:28" ht="18" customHeight="1" x14ac:dyDescent="0.2">
      <c r="B27" s="3"/>
      <c r="C27" s="3"/>
      <c r="D27" s="3"/>
      <c r="E27" s="27"/>
      <c r="G27" s="3"/>
      <c r="N27" s="51" t="s">
        <v>20</v>
      </c>
      <c r="O27" s="51"/>
      <c r="P27" s="51"/>
      <c r="Q27" s="51"/>
      <c r="R27" s="51"/>
      <c r="S27" s="40">
        <f>S26/I20</f>
        <v>53179.613397571316</v>
      </c>
    </row>
    <row r="28" spans="2:28" x14ac:dyDescent="0.2">
      <c r="F28" s="10"/>
    </row>
    <row r="29" spans="2:28" ht="36" x14ac:dyDescent="0.2">
      <c r="B29" s="1" t="s">
        <v>55</v>
      </c>
      <c r="M29" s="1" t="s">
        <v>44</v>
      </c>
      <c r="N29" s="53" t="s">
        <v>18</v>
      </c>
      <c r="O29" s="53"/>
      <c r="P29" s="53"/>
      <c r="Q29" s="53"/>
      <c r="R29" s="53"/>
      <c r="S29" s="53"/>
    </row>
    <row r="30" spans="2:28" x14ac:dyDescent="0.2">
      <c r="B30" s="25" t="s">
        <v>0</v>
      </c>
      <c r="C30" s="24">
        <f>F26</f>
        <v>36807.56903957155</v>
      </c>
      <c r="M30" s="53" t="s">
        <v>45</v>
      </c>
      <c r="N30" s="26">
        <f>S27</f>
        <v>53179.613397571316</v>
      </c>
      <c r="O30" s="54">
        <v>0.14849999999999999</v>
      </c>
      <c r="P30" s="54">
        <v>0.1535</v>
      </c>
      <c r="Q30" s="54">
        <v>0.1585</v>
      </c>
      <c r="R30" s="54">
        <v>0.16350000000000001</v>
      </c>
      <c r="S30" s="54">
        <v>0.16850000000000001</v>
      </c>
      <c r="V30" s="55"/>
      <c r="W30" s="55"/>
      <c r="X30" s="55"/>
      <c r="Y30" s="55"/>
      <c r="Z30" s="55"/>
      <c r="AA30" s="55"/>
      <c r="AB30" s="55"/>
    </row>
    <row r="31" spans="2:28" x14ac:dyDescent="0.2">
      <c r="B31" s="25" t="s">
        <v>26</v>
      </c>
      <c r="C31" s="24">
        <f>L25</f>
        <v>39571.707696697711</v>
      </c>
      <c r="M31" s="53"/>
      <c r="N31" s="54">
        <v>0.01</v>
      </c>
      <c r="O31" s="7">
        <f t="dataTable" ref="O31:S35" dt2D="1" dtr="1" r1="O22" r2="T23"/>
        <v>52626.476127330541</v>
      </c>
      <c r="P31" s="7">
        <v>51690.934356025704</v>
      </c>
      <c r="Q31" s="7">
        <v>50778.039031262677</v>
      </c>
      <c r="R31" s="7">
        <v>49887.129272120386</v>
      </c>
      <c r="S31" s="7">
        <v>49017.566485363161</v>
      </c>
      <c r="V31" s="56"/>
      <c r="W31" s="57"/>
      <c r="X31" s="57"/>
      <c r="Y31" s="57"/>
      <c r="Z31" s="57"/>
      <c r="AA31" s="57"/>
      <c r="AB31" s="55"/>
    </row>
    <row r="32" spans="2:28" x14ac:dyDescent="0.2">
      <c r="B32" s="25" t="s">
        <v>1</v>
      </c>
      <c r="C32" s="24">
        <f>S27</f>
        <v>53179.613397571316</v>
      </c>
      <c r="M32" s="53"/>
      <c r="N32" s="54">
        <v>1.4999999999999999E-2</v>
      </c>
      <c r="O32" s="7">
        <v>53836.818122569777</v>
      </c>
      <c r="P32" s="7">
        <v>52875.199715956034</v>
      </c>
      <c r="Q32" s="7">
        <v>51936.899034854068</v>
      </c>
      <c r="R32" s="7">
        <v>51021.235124237508</v>
      </c>
      <c r="S32" s="7">
        <v>50127.549999896684</v>
      </c>
      <c r="V32" s="57"/>
      <c r="W32" s="56"/>
      <c r="X32" s="56"/>
      <c r="Y32" s="56"/>
      <c r="Z32" s="56"/>
      <c r="AA32" s="56"/>
      <c r="AB32" s="55"/>
    </row>
    <row r="33" spans="2:28" ht="18" x14ac:dyDescent="0.2">
      <c r="B33" s="1" t="s">
        <v>20</v>
      </c>
      <c r="C33" s="50">
        <f>AVERAGE(C30:C32)</f>
        <v>43186.296711280193</v>
      </c>
      <c r="D33" s="10"/>
      <c r="M33" s="53"/>
      <c r="N33" s="54">
        <v>0.02</v>
      </c>
      <c r="O33" s="7">
        <v>55134.729207899269</v>
      </c>
      <c r="P33" s="7">
        <v>54145.152648556097</v>
      </c>
      <c r="Q33" s="33">
        <v>53179.613397571316</v>
      </c>
      <c r="R33" s="7">
        <v>52237.408985206006</v>
      </c>
      <c r="S33" s="7">
        <v>51317.860644562861</v>
      </c>
      <c r="V33" s="57"/>
      <c r="W33" s="56"/>
      <c r="X33" s="56"/>
      <c r="Y33" s="56"/>
      <c r="Z33" s="56"/>
      <c r="AA33" s="56"/>
      <c r="AB33" s="55"/>
    </row>
    <row r="34" spans="2:28" x14ac:dyDescent="0.2">
      <c r="C34" s="34"/>
      <c r="M34" s="53"/>
      <c r="N34" s="54">
        <v>2.5000000000000001E-2</v>
      </c>
      <c r="O34" s="7">
        <v>56530.048606924596</v>
      </c>
      <c r="P34" s="7">
        <v>55510.420970979765</v>
      </c>
      <c r="Q34" s="7">
        <v>54515.603957518426</v>
      </c>
      <c r="R34" s="7">
        <v>53544.871979615891</v>
      </c>
      <c r="S34" s="7">
        <v>52597.523939601269</v>
      </c>
      <c r="V34" s="57"/>
      <c r="W34" s="56"/>
      <c r="X34" s="56"/>
      <c r="Y34" s="56"/>
      <c r="Z34" s="56"/>
      <c r="AA34" s="56"/>
      <c r="AB34" s="55"/>
    </row>
    <row r="35" spans="2:28" x14ac:dyDescent="0.2">
      <c r="C35" s="34"/>
      <c r="M35" s="53"/>
      <c r="N35" s="54">
        <v>0.03</v>
      </c>
      <c r="O35" s="7">
        <v>58034.146939921608</v>
      </c>
      <c r="P35" s="7">
        <v>56982.130993323219</v>
      </c>
      <c r="Q35" s="7">
        <v>55955.758986745612</v>
      </c>
      <c r="R35" s="7">
        <v>54954.280426545949</v>
      </c>
      <c r="S35" s="7">
        <v>53976.970155483417</v>
      </c>
      <c r="V35" s="57"/>
      <c r="W35" s="56"/>
      <c r="X35" s="56"/>
      <c r="Y35" s="56"/>
      <c r="Z35" s="56"/>
      <c r="AA35" s="56"/>
      <c r="AB35" s="55"/>
    </row>
    <row r="36" spans="2:28" x14ac:dyDescent="0.2">
      <c r="C36" s="34"/>
      <c r="M36" s="36"/>
      <c r="V36" s="57"/>
      <c r="W36" s="56"/>
      <c r="X36" s="56"/>
      <c r="Y36" s="56"/>
      <c r="Z36" s="56"/>
      <c r="AA36" s="56"/>
      <c r="AB36" s="55"/>
    </row>
    <row r="37" spans="2:28" x14ac:dyDescent="0.2">
      <c r="L37" s="8"/>
      <c r="P37" s="35"/>
      <c r="V37" s="55"/>
      <c r="W37" s="55"/>
      <c r="X37" s="55"/>
      <c r="Y37" s="55"/>
      <c r="Z37" s="55"/>
      <c r="AA37" s="55"/>
      <c r="AB37" s="55"/>
    </row>
    <row r="38" spans="2:28" x14ac:dyDescent="0.2">
      <c r="L38" s="8"/>
      <c r="P38" s="7"/>
    </row>
    <row r="39" spans="2:28" x14ac:dyDescent="0.2">
      <c r="L39" s="8"/>
      <c r="P39" s="7"/>
    </row>
    <row r="40" spans="2:28" x14ac:dyDescent="0.2">
      <c r="L40" s="8"/>
    </row>
    <row r="41" spans="2:28" x14ac:dyDescent="0.2">
      <c r="P41" s="10"/>
    </row>
    <row r="42" spans="2:28" x14ac:dyDescent="0.2">
      <c r="P42" s="10"/>
    </row>
  </sheetData>
  <mergeCells count="12">
    <mergeCell ref="N29:S29"/>
    <mergeCell ref="M30:M35"/>
    <mergeCell ref="W10:AA10"/>
    <mergeCell ref="W11:AA11"/>
    <mergeCell ref="W12:AA12"/>
    <mergeCell ref="W13:AA13"/>
    <mergeCell ref="B26:E26"/>
    <mergeCell ref="H25:K25"/>
    <mergeCell ref="N27:R27"/>
    <mergeCell ref="N24:R24"/>
    <mergeCell ref="N25:R25"/>
    <mergeCell ref="N26:R26"/>
  </mergeCells>
  <conditionalFormatting sqref="O31:S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2:AA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Do</dc:creator>
  <cp:lastModifiedBy>Huyen Do</cp:lastModifiedBy>
  <dcterms:created xsi:type="dcterms:W3CDTF">2026-05-09T04:38:34Z</dcterms:created>
  <dcterms:modified xsi:type="dcterms:W3CDTF">2026-06-17T16:02:41Z</dcterms:modified>
</cp:coreProperties>
</file>